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105" windowWidth="28695" windowHeight="12540"/>
  </bookViews>
  <sheets>
    <sheet name="Tabela geral contando a 2a fase" sheetId="4" r:id="rId1"/>
    <sheet name="Fim da 1a fase" sheetId="1" r:id="rId2"/>
  </sheets>
  <definedNames>
    <definedName name="_xlnm._FilterDatabase" localSheetId="1" hidden="1">'Fim da 1a fase'!$A$1:$J$17</definedName>
    <definedName name="_xlnm._FilterDatabase" localSheetId="0" hidden="1">'Tabela geral contando a 2a fase'!$A$1:$J$17</definedName>
  </definedNames>
  <calcPr calcId="124519"/>
</workbook>
</file>

<file path=xl/calcChain.xml><?xml version="1.0" encoding="utf-8"?>
<calcChain xmlns="http://schemas.openxmlformats.org/spreadsheetml/2006/main">
  <c r="H9" i="4"/>
  <c r="G9"/>
  <c r="H30"/>
  <c r="H31"/>
  <c r="H32"/>
  <c r="H33"/>
  <c r="H34"/>
  <c r="H35"/>
  <c r="H36"/>
  <c r="H29"/>
  <c r="G30"/>
  <c r="G31"/>
  <c r="G32"/>
  <c r="G33"/>
  <c r="G34"/>
  <c r="G35"/>
  <c r="G36"/>
  <c r="G29"/>
  <c r="H4"/>
  <c r="H6"/>
  <c r="H5"/>
  <c r="H3"/>
  <c r="H8"/>
  <c r="H7"/>
  <c r="H2"/>
  <c r="G4"/>
  <c r="G6"/>
  <c r="G5"/>
  <c r="G3"/>
  <c r="G8"/>
  <c r="G7"/>
  <c r="G2"/>
  <c r="S6"/>
  <c r="M6"/>
  <c r="S5"/>
  <c r="M5"/>
  <c r="S4"/>
  <c r="M4"/>
  <c r="S3"/>
  <c r="M3"/>
  <c r="S21"/>
  <c r="S19"/>
  <c r="S17"/>
  <c r="S16"/>
  <c r="S14"/>
  <c r="S13"/>
  <c r="M21"/>
  <c r="M19"/>
  <c r="M17"/>
  <c r="M16"/>
  <c r="M14"/>
  <c r="M13"/>
  <c r="S8"/>
  <c r="S9"/>
  <c r="S10"/>
  <c r="S11"/>
  <c r="M8"/>
  <c r="M9"/>
  <c r="M10"/>
  <c r="M11"/>
  <c r="F32" l="1"/>
  <c r="F31"/>
  <c r="E9"/>
  <c r="F29"/>
  <c r="I9"/>
  <c r="F34"/>
  <c r="F33"/>
  <c r="F35"/>
  <c r="F30"/>
  <c r="D9"/>
  <c r="F36"/>
  <c r="E36"/>
  <c r="F9"/>
  <c r="D36"/>
  <c r="D34"/>
  <c r="D30"/>
  <c r="E34"/>
  <c r="E30"/>
  <c r="D35"/>
  <c r="D31"/>
  <c r="E35"/>
  <c r="E31"/>
  <c r="D32"/>
  <c r="E32"/>
  <c r="D29"/>
  <c r="D33"/>
  <c r="E29"/>
  <c r="E33"/>
  <c r="E6"/>
  <c r="D2"/>
  <c r="D5"/>
  <c r="E7"/>
  <c r="F4"/>
  <c r="F8"/>
  <c r="E3"/>
  <c r="D3"/>
  <c r="F3"/>
  <c r="E4"/>
  <c r="D4"/>
  <c r="F2"/>
  <c r="E2"/>
  <c r="D7"/>
  <c r="F5"/>
  <c r="E5"/>
  <c r="F7"/>
  <c r="F6"/>
  <c r="D8"/>
  <c r="D6"/>
  <c r="E8"/>
  <c r="I4"/>
  <c r="I5"/>
  <c r="I8"/>
  <c r="I7"/>
  <c r="I6"/>
  <c r="I3"/>
  <c r="B9" l="1"/>
  <c r="C9"/>
  <c r="I34"/>
  <c r="B4"/>
  <c r="I31"/>
  <c r="I29"/>
  <c r="C4"/>
  <c r="I35"/>
  <c r="I33"/>
  <c r="I36"/>
  <c r="I2"/>
  <c r="I30"/>
  <c r="C32"/>
  <c r="B5"/>
  <c r="C35"/>
  <c r="C7"/>
  <c r="C3"/>
  <c r="I32"/>
  <c r="C6"/>
  <c r="C8"/>
  <c r="B2"/>
  <c r="C5"/>
  <c r="B8"/>
  <c r="C2"/>
  <c r="B6"/>
  <c r="B7"/>
  <c r="B3"/>
  <c r="C30"/>
  <c r="C34"/>
  <c r="C33"/>
  <c r="C31"/>
  <c r="C29"/>
  <c r="C36"/>
  <c r="J9" l="1"/>
  <c r="J7"/>
  <c r="J4"/>
  <c r="J5"/>
  <c r="J3"/>
  <c r="J8"/>
  <c r="J6"/>
  <c r="J2"/>
</calcChain>
</file>

<file path=xl/sharedStrings.xml><?xml version="1.0" encoding="utf-8"?>
<sst xmlns="http://schemas.openxmlformats.org/spreadsheetml/2006/main" count="97" uniqueCount="44">
  <si>
    <t>P</t>
  </si>
  <si>
    <t>J</t>
  </si>
  <si>
    <t>V</t>
  </si>
  <si>
    <t>E</t>
  </si>
  <si>
    <t>D</t>
  </si>
  <si>
    <t>GP</t>
  </si>
  <si>
    <t>GC</t>
  </si>
  <si>
    <t>SG</t>
  </si>
  <si>
    <t>%</t>
  </si>
  <si>
    <t>Corinthians</t>
  </si>
  <si>
    <t>Botafogo</t>
  </si>
  <si>
    <t>Ituano</t>
  </si>
  <si>
    <t>São Bernardo</t>
  </si>
  <si>
    <t>São Paulo</t>
  </si>
  <si>
    <t>Linense</t>
  </si>
  <si>
    <t>RB Brasil</t>
  </si>
  <si>
    <t>Ferroviária</t>
  </si>
  <si>
    <t>Palmeiras</t>
  </si>
  <si>
    <t>Novorizontino</t>
  </si>
  <si>
    <t>Santo André</t>
  </si>
  <si>
    <t>São Bento</t>
  </si>
  <si>
    <t>Santos</t>
  </si>
  <si>
    <t>Ponte Preta</t>
  </si>
  <si>
    <t>Mirassol</t>
  </si>
  <si>
    <t>Audax</t>
  </si>
  <si>
    <t>66.7</t>
  </si>
  <si>
    <t>47.2</t>
  </si>
  <si>
    <t>38.9</t>
  </si>
  <si>
    <t>27.8</t>
  </si>
  <si>
    <t>55.6</t>
  </si>
  <si>
    <t>36.1</t>
  </si>
  <si>
    <t>69.4</t>
  </si>
  <si>
    <t>41.7</t>
  </si>
  <si>
    <t>61.1</t>
  </si>
  <si>
    <t>25.0</t>
  </si>
  <si>
    <t>Ponte preta</t>
  </si>
  <si>
    <t>x</t>
  </si>
  <si>
    <t>R</t>
  </si>
  <si>
    <t>4as de final - 1a perna</t>
  </si>
  <si>
    <t>4as de final - 2a perna</t>
  </si>
  <si>
    <t>Semi</t>
  </si>
  <si>
    <t>Final ida</t>
  </si>
  <si>
    <t>Final volta</t>
  </si>
  <si>
    <t>Jogos segunda fase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</si>
</sst>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Opensans-bold"/>
    </font>
    <font>
      <sz val="11"/>
      <color rgb="FF333333"/>
      <name val="Inherit"/>
    </font>
    <font>
      <i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FCFC"/>
        <bgColor indexed="64"/>
      </patternFill>
    </fill>
    <fill>
      <patternFill patternType="solid">
        <fgColor rgb="FFF5F5F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DDDDDD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0" fontId="4" fillId="0" borderId="0" xfId="0" applyFont="1"/>
    <xf numFmtId="164" fontId="3" fillId="3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textRotation="90" wrapText="1"/>
    </xf>
    <xf numFmtId="0" fontId="4" fillId="0" borderId="0" xfId="0" applyFont="1" applyAlignment="1"/>
    <xf numFmtId="0" fontId="4" fillId="0" borderId="0" xfId="0" applyFont="1" applyAlignment="1">
      <alignment horizontal="center"/>
    </xf>
    <xf numFmtId="0" fontId="0" fillId="0" borderId="0" xfId="0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center" textRotation="90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A1:S36"/>
  <sheetViews>
    <sheetView tabSelected="1" workbookViewId="0">
      <selection activeCell="Q8" sqref="Q8"/>
    </sheetView>
  </sheetViews>
  <sheetFormatPr defaultRowHeight="15"/>
  <cols>
    <col min="1" max="1" width="13.85546875" bestFit="1" customWidth="1"/>
    <col min="4" max="4" width="9.85546875" bestFit="1" customWidth="1"/>
    <col min="10" max="10" width="10.42578125" customWidth="1"/>
    <col min="12" max="12" width="10.5703125" customWidth="1"/>
    <col min="13" max="13" width="2.28515625" hidden="1" customWidth="1"/>
    <col min="14" max="14" width="14.140625" bestFit="1" customWidth="1"/>
    <col min="15" max="15" width="2" style="7" bestFit="1" customWidth="1"/>
    <col min="16" max="16" width="2" bestFit="1" customWidth="1"/>
    <col min="17" max="17" width="2" style="7" bestFit="1" customWidth="1"/>
    <col min="18" max="18" width="14.140625" bestFit="1" customWidth="1"/>
    <col min="19" max="19" width="2.28515625" hidden="1" customWidth="1"/>
  </cols>
  <sheetData>
    <row r="1" spans="1:19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</row>
    <row r="2" spans="1:19" ht="15.75" thickBot="1">
      <c r="A2" s="6" t="s">
        <v>17</v>
      </c>
      <c r="B2" s="2">
        <f>D2*3+E2*1</f>
        <v>28</v>
      </c>
      <c r="C2" s="3">
        <f>D2+E2+F2</f>
        <v>13</v>
      </c>
      <c r="D2" s="4">
        <f>'Fim da 1a fase'!D2 + COUNTIFS($N$3:$N$21,A2,$M$3:$M$21,"V",$O$3:$O$21,"&lt;&gt;"&amp;"",$Q$3:$Q$21,"&lt;&gt;"&amp;"") +COUNTIFS($R$3:$R$21,A2,$S$3:$S$21,"V",$O$3:$O$21,"&lt;&gt;"&amp;"",$Q$3:$Q$21,"&lt;&gt;"&amp;"")</f>
        <v>9</v>
      </c>
      <c r="E2" s="3">
        <f>'Fim da 1a fase'!E2 + COUNTIFS($N$3:$N$21,A2,$M$3:$M$21,"E",$O$3:$O$21,"&lt;&gt;"&amp;"",$Q$3:$Q$21,"&lt;&gt;"&amp;"") +COUNTIFS($R$3:$R$21,A2,$S$3:$S$21,"E",$O$3:$O$21,"&lt;&gt;"&amp;"",$Q$3:$Q$21,"&lt;&gt;"&amp;"")</f>
        <v>1</v>
      </c>
      <c r="F2" s="4">
        <f>'Fim da 1a fase'!F2 + COUNTIFS($N$3:$N$21,A2,$M$3:$M$21,"D",$O$3:$O$21,"&lt;&gt;"&amp;"",$Q$3:$Q$21,"&lt;&gt;"&amp;"") +COUNTIFS($R$3:$R$21,A2,$S$3:$S$21,"D",$O$3:$O$21,"&lt;&gt;"&amp;"",$Q$3:$Q$21,"&lt;&gt;"&amp;"")</f>
        <v>3</v>
      </c>
      <c r="G2" s="3">
        <f>'Fim da 1a fase'!G2+SUMIFS($O$3:$O$21,$N$3:$N$21,A2)+SUMIFS($Q$3:$Q$21,$R$3:$R$21,A2)</f>
        <v>26</v>
      </c>
      <c r="H2" s="4">
        <f>'Fim da 1a fase'!H2+SUMIFS($Q$3:$Q$21,$N$3:$N$21,A2)+SUMIFS($O$3:$O$21,$R$3:$R$21,A2)</f>
        <v>9</v>
      </c>
      <c r="I2" s="3">
        <f>G2-H2</f>
        <v>17</v>
      </c>
      <c r="J2" s="9">
        <f>B2*100/(C2*3)</f>
        <v>71.794871794871796</v>
      </c>
      <c r="M2" s="1" t="s">
        <v>37</v>
      </c>
      <c r="N2" s="17" t="s">
        <v>43</v>
      </c>
      <c r="O2" s="17"/>
      <c r="P2" s="17"/>
      <c r="Q2" s="17"/>
      <c r="R2" s="17"/>
      <c r="S2" s="1" t="s">
        <v>37</v>
      </c>
    </row>
    <row r="3" spans="1:19" ht="15.75" thickBot="1">
      <c r="A3" s="6" t="s">
        <v>22</v>
      </c>
      <c r="B3" s="2">
        <f>D3*3+E3*1</f>
        <v>25</v>
      </c>
      <c r="C3" s="3">
        <f>D3+E3+F3</f>
        <v>13</v>
      </c>
      <c r="D3" s="4">
        <f>'Fim da 1a fase'!D5 + COUNTIFS($N$3:$N$21,A3,$M$3:$M$21,"V",$O$3:$O$21,"&lt;&gt;"&amp;"",$Q$3:$Q$21,"&lt;&gt;"&amp;"") +COUNTIFS($R$3:$R$21,A3,$S$3:$S$21,"V",$O$3:$O$21,"&lt;&gt;"&amp;"",$Q$3:$Q$21,"&lt;&gt;"&amp;"")</f>
        <v>7</v>
      </c>
      <c r="E3" s="3">
        <f>'Fim da 1a fase'!E5 + COUNTIFS($N$3:$N$21,A3,$M$3:$M$21,"E",$O$3:$O$21,"&lt;&gt;"&amp;"",$Q$3:$Q$21,"&lt;&gt;"&amp;"") +COUNTIFS($R$3:$R$21,A3,$S$3:$S$21,"E",$O$3:$O$21,"&lt;&gt;"&amp;"",$Q$3:$Q$21,"&lt;&gt;"&amp;"")</f>
        <v>4</v>
      </c>
      <c r="F3" s="4">
        <f>'Fim da 1a fase'!F6 + COUNTIFS($N$3:$N$21,A3,$M$3:$M$21,"D",$O$3:$O$21,"&lt;&gt;"&amp;"",$Q$3:$Q$21,"&lt;&gt;"&amp;"") +COUNTIFS($R$3:$R$21,A3,$S$3:$S$21,"D",$O$3:$O$21,"&lt;&gt;"&amp;"",$Q$3:$Q$21,"&lt;&gt;"&amp;"")</f>
        <v>2</v>
      </c>
      <c r="G3" s="3">
        <f>'Fim da 1a fase'!G6+SUMIFS($O$3:$O$21,$N$3:$N$21,A3)+SUMIFS($Q$3:$Q$21,$R$3:$R$21,A3)</f>
        <v>26</v>
      </c>
      <c r="H3" s="4">
        <f>'Fim da 1a fase'!H6+SUMIFS($Q$3:$Q$21,$N$3:$N$21,A3)+SUMIFS($O$3:$O$21,$R$3:$R$21,A3)</f>
        <v>20</v>
      </c>
      <c r="I3" s="3">
        <f>G3-H3</f>
        <v>6</v>
      </c>
      <c r="J3" s="9">
        <f>B3*100/(C3*3)</f>
        <v>64.102564102564102</v>
      </c>
      <c r="L3" s="16" t="s">
        <v>38</v>
      </c>
      <c r="M3" s="7" t="str">
        <f>IF(O3&gt;Q3,"V",IF(O3=Q3,"E","D"))</f>
        <v>E</v>
      </c>
      <c r="N3" s="8" t="s">
        <v>10</v>
      </c>
      <c r="O3" s="7">
        <v>0</v>
      </c>
      <c r="P3" s="10" t="s">
        <v>36</v>
      </c>
      <c r="Q3" s="7">
        <v>0</v>
      </c>
      <c r="R3" s="8" t="s">
        <v>9</v>
      </c>
      <c r="S3" s="7" t="str">
        <f>IF(Q3&gt;O3,"V",IF(Q3=O3,"E","D"))</f>
        <v>E</v>
      </c>
    </row>
    <row r="4" spans="1:19" ht="15.75" customHeight="1" thickBot="1">
      <c r="A4" s="6" t="s">
        <v>9</v>
      </c>
      <c r="B4" s="2">
        <f>D4*3+E4*1</f>
        <v>25</v>
      </c>
      <c r="C4" s="3">
        <f>D4+E4+F4</f>
        <v>13</v>
      </c>
      <c r="D4" s="4">
        <f>'Fim da 1a fase'!D4 + COUNTIFS($N$3:$N$21,A4,$M$3:$M$21,"V",$O$3:$O$21,"&lt;&gt;"&amp;"",$Q$3:$Q$21,"&lt;&gt;"&amp;"") +COUNTIFS($R$3:$R$21,A4,$S$3:$S$21,"V",$O$3:$O$21,"&lt;&gt;"&amp;"",$Q$3:$Q$21,"&lt;&gt;"&amp;"")</f>
        <v>7</v>
      </c>
      <c r="E4" s="3">
        <f>'Fim da 1a fase'!E3 + COUNTIFS($N$3:$N$21,A4,$M$3:$M$21,"E",$O$3:$O$21,"&lt;&gt;"&amp;"",$Q$3:$Q$21,"&lt;&gt;"&amp;"") +COUNTIFS($R$3:$R$21,A4,$S$3:$S$21,"E",$O$3:$O$21,"&lt;&gt;"&amp;"",$Q$3:$Q$21,"&lt;&gt;"&amp;"")</f>
        <v>4</v>
      </c>
      <c r="F4" s="4">
        <f>'Fim da 1a fase'!F3 + COUNTIFS($N$3:$N$21,A4,$M$3:$M$21,"D",$O$3:$O$21,"&lt;&gt;"&amp;"",$Q$3:$Q$21,"&lt;&gt;"&amp;"") +COUNTIFS($R$3:$R$21,A4,$S$3:$S$21,"D",$O$3:$O$21,"&lt;&gt;"&amp;"",$Q$3:$Q$21,"&lt;&gt;"&amp;"")</f>
        <v>2</v>
      </c>
      <c r="G4" s="3">
        <f>'Fim da 1a fase'!G3+SUMIFS($O$3:$O$21,$N$3:$N$21,A4)+SUMIFS($Q$3:$Q$21,$R$3:$R$21,A4)</f>
        <v>14</v>
      </c>
      <c r="H4" s="4">
        <f>'Fim da 1a fase'!H3+SUMIFS($Q$3:$Q$21,$N$3:$N$21,A4)+SUMIFS($O$3:$O$21,$R$3:$R$21,A4)</f>
        <v>9</v>
      </c>
      <c r="I4" s="3">
        <f>G4-H4</f>
        <v>5</v>
      </c>
      <c r="J4" s="9">
        <f>B4*100/(C4*3)</f>
        <v>64.102564102564102</v>
      </c>
      <c r="L4" s="16"/>
      <c r="M4" s="7" t="str">
        <f>IF(O4&gt;Q4,"V",IF(O4=Q4,"E","D"))</f>
        <v>D</v>
      </c>
      <c r="N4" s="8" t="s">
        <v>14</v>
      </c>
      <c r="O4" s="7">
        <v>0</v>
      </c>
      <c r="P4" s="10" t="s">
        <v>36</v>
      </c>
      <c r="Q4" s="7">
        <v>2</v>
      </c>
      <c r="R4" s="8" t="s">
        <v>13</v>
      </c>
      <c r="S4" s="7" t="str">
        <f>IF(Q4&gt;O4,"V",IF(Q4=O4,"E","D"))</f>
        <v>V</v>
      </c>
    </row>
    <row r="5" spans="1:19" ht="15.75" thickBot="1">
      <c r="A5" s="6" t="s">
        <v>13</v>
      </c>
      <c r="B5" s="2">
        <f>D5*3+E5*1</f>
        <v>23</v>
      </c>
      <c r="C5" s="3">
        <f>D5+E5+F5</f>
        <v>13</v>
      </c>
      <c r="D5" s="4">
        <f>'Fim da 1a fase'!D6 + COUNTIFS($N$3:$N$21,A5,$M$3:$M$21,"V",$O$3:$O$21,"&lt;&gt;"&amp;"",$Q$3:$Q$21,"&lt;&gt;"&amp;"") +COUNTIFS($R$3:$R$21,A5,$S$3:$S$21,"V",$O$3:$O$21,"&lt;&gt;"&amp;"",$Q$3:$Q$21,"&lt;&gt;"&amp;"")</f>
        <v>6</v>
      </c>
      <c r="E5" s="3">
        <f>'Fim da 1a fase'!E6 + COUNTIFS($N$3:$N$21,A5,$M$3:$M$21,"E",$O$3:$O$21,"&lt;&gt;"&amp;"",$Q$3:$Q$21,"&lt;&gt;"&amp;"") +COUNTIFS($R$3:$R$21,A5,$S$3:$S$21,"E",$O$3:$O$21,"&lt;&gt;"&amp;"",$Q$3:$Q$21,"&lt;&gt;"&amp;"")</f>
        <v>5</v>
      </c>
      <c r="F5" s="4">
        <f>'Fim da 1a fase'!F5 + COUNTIFS($N$3:$N$21,A5,$M$3:$M$21,"D",$O$3:$O$21,"&lt;&gt;"&amp;"",$Q$3:$Q$21,"&lt;&gt;"&amp;"") +COUNTIFS($R$3:$R$21,A5,$S$3:$S$21,"D",$O$3:$O$21,"&lt;&gt;"&amp;"",$Q$3:$Q$21,"&lt;&gt;"&amp;"")</f>
        <v>2</v>
      </c>
      <c r="G5" s="3">
        <f>'Fim da 1a fase'!G5+SUMIFS($O$3:$O$21,$N$3:$N$21,A5)+SUMIFS($Q$3:$Q$21,$R$3:$R$21,A5)</f>
        <v>20</v>
      </c>
      <c r="H5" s="4">
        <f>'Fim da 1a fase'!H5+SUMIFS($Q$3:$Q$21,$N$3:$N$21,A5)+SUMIFS($O$3:$O$21,$R$3:$R$21,A5)</f>
        <v>16</v>
      </c>
      <c r="I5" s="3">
        <f>G5-H5</f>
        <v>4</v>
      </c>
      <c r="J5" s="9">
        <f>B5*100/(C5*3)</f>
        <v>58.974358974358971</v>
      </c>
      <c r="L5" s="16"/>
      <c r="M5" s="7" t="str">
        <f>IF(O5&gt;Q5,"V",IF(O5=Q5,"E","D"))</f>
        <v>D</v>
      </c>
      <c r="N5" s="8" t="s">
        <v>18</v>
      </c>
      <c r="O5" s="7">
        <v>1</v>
      </c>
      <c r="P5" s="10" t="s">
        <v>36</v>
      </c>
      <c r="Q5" s="7">
        <v>3</v>
      </c>
      <c r="R5" s="8" t="s">
        <v>17</v>
      </c>
      <c r="S5" s="7" t="str">
        <f>IF(Q5&gt;O5,"V",IF(Q5=O5,"E","D"))</f>
        <v>V</v>
      </c>
    </row>
    <row r="6" spans="1:19" ht="15.75" thickBot="1">
      <c r="A6" s="6" t="s">
        <v>21</v>
      </c>
      <c r="B6" s="2">
        <f>D6*3+E6*1</f>
        <v>22</v>
      </c>
      <c r="C6" s="3">
        <f>D6+E6+F6</f>
        <v>13</v>
      </c>
      <c r="D6" s="4">
        <f>'Fim da 1a fase'!D3 + COUNTIFS($N$3:$N$21,A6,$M$3:$M$21,"V",$O$3:$O$21,"&lt;&gt;"&amp;"",$Q$3:$Q$21,"&lt;&gt;"&amp;"") +COUNTIFS($R$3:$R$21,A6,$S$3:$S$21,"V",$O$3:$O$21,"&lt;&gt;"&amp;"",$Q$3:$Q$21,"&lt;&gt;"&amp;"")</f>
        <v>7</v>
      </c>
      <c r="E6" s="3">
        <f>'Fim da 1a fase'!E4 + COUNTIFS($N$3:$N$21,A6,$M$3:$M$21,"E",$O$3:$O$21,"&lt;&gt;"&amp;"",$Q$3:$Q$21,"&lt;&gt;"&amp;"") +COUNTIFS($R$3:$R$21,A6,$S$3:$S$21,"E",$O$3:$O$21,"&lt;&gt;"&amp;"",$Q$3:$Q$21,"&lt;&gt;"&amp;"")</f>
        <v>1</v>
      </c>
      <c r="F6" s="4">
        <f>'Fim da 1a fase'!F4 + COUNTIFS($N$3:$N$21,A6,$M$3:$M$21,"D",$O$3:$O$21,"&lt;&gt;"&amp;"",$Q$3:$Q$21,"&lt;&gt;"&amp;"") +COUNTIFS($R$3:$R$21,A6,$S$3:$S$21,"D",$O$3:$O$21,"&lt;&gt;"&amp;"",$Q$3:$Q$21,"&lt;&gt;"&amp;"")</f>
        <v>5</v>
      </c>
      <c r="G6" s="3">
        <f>'Fim da 1a fase'!G4+SUMIFS($O$3:$O$21,$N$3:$N$21,A6)+SUMIFS($Q$3:$Q$21,$R$3:$R$21,A6)</f>
        <v>23</v>
      </c>
      <c r="H6" s="4">
        <f>'Fim da 1a fase'!H4+SUMIFS($Q$3:$Q$21,$N$3:$N$21,A6)+SUMIFS($O$3:$O$21,$R$3:$R$21,A6)</f>
        <v>14</v>
      </c>
      <c r="I6" s="3">
        <f>G6-H6</f>
        <v>9</v>
      </c>
      <c r="J6" s="9">
        <f>B6*100/(C6*3)</f>
        <v>56.410256410256409</v>
      </c>
      <c r="L6" s="16"/>
      <c r="M6" s="7" t="str">
        <f>IF(O6&gt;Q6,"V",IF(O6=Q6,"E","D"))</f>
        <v>V</v>
      </c>
      <c r="N6" s="8" t="s">
        <v>35</v>
      </c>
      <c r="O6" s="7">
        <v>1</v>
      </c>
      <c r="P6" s="10" t="s">
        <v>36</v>
      </c>
      <c r="Q6" s="7">
        <v>0</v>
      </c>
      <c r="R6" s="8" t="s">
        <v>21</v>
      </c>
      <c r="S6" s="7" t="str">
        <f>IF(Q6&gt;O6,"V",IF(Q6=O6,"E","D"))</f>
        <v>D</v>
      </c>
    </row>
    <row r="7" spans="1:19" ht="15.75" thickBot="1">
      <c r="A7" s="6" t="s">
        <v>10</v>
      </c>
      <c r="B7" s="2">
        <f>D7*3+E7*1</f>
        <v>18</v>
      </c>
      <c r="C7" s="3">
        <f>D7+E7+F7</f>
        <v>13</v>
      </c>
      <c r="D7" s="4">
        <f>'Fim da 1a fase'!D8 + COUNTIFS($N$3:$N$21,A7,$M$3:$M$21,"V",$O$3:$O$21,"&lt;&gt;"&amp;"",$Q$3:$Q$21,"&lt;&gt;"&amp;"") +COUNTIFS($R$3:$R$21,A7,$S$3:$S$21,"V",$O$3:$O$21,"&lt;&gt;"&amp;"",$Q$3:$Q$21,"&lt;&gt;"&amp;"")</f>
        <v>4</v>
      </c>
      <c r="E7" s="3">
        <f>'Fim da 1a fase'!E8 + COUNTIFS($N$3:$N$21,A7,$M$3:$M$21,"E",$O$3:$O$21,"&lt;&gt;"&amp;"",$Q$3:$Q$21,"&lt;&gt;"&amp;"") +COUNTIFS($R$3:$R$21,A7,$S$3:$S$21,"E",$O$3:$O$21,"&lt;&gt;"&amp;"",$Q$3:$Q$21,"&lt;&gt;"&amp;"")</f>
        <v>6</v>
      </c>
      <c r="F7" s="4">
        <f>'Fim da 1a fase'!F8 + COUNTIFS($N$3:$N$21,A7,$M$3:$M$21,"D",$O$3:$O$21,"&lt;&gt;"&amp;"",$Q$3:$Q$21,"&lt;&gt;"&amp;"") +COUNTIFS($R$3:$R$21,A7,$S$3:$S$21,"D",$O$3:$O$21,"&lt;&gt;"&amp;"",$Q$3:$Q$21,"&lt;&gt;"&amp;"")</f>
        <v>3</v>
      </c>
      <c r="G7" s="3">
        <f>'Fim da 1a fase'!G8+SUMIFS($O$3:$O$21,$N$3:$N$21,A7)+SUMIFS($Q$3:$Q$21,$R$3:$R$21,A7)</f>
        <v>13</v>
      </c>
      <c r="H7" s="4">
        <f>'Fim da 1a fase'!H8+SUMIFS($Q$3:$Q$21,$N$3:$N$21,A7)+SUMIFS($O$3:$O$21,$R$3:$R$21,A7)</f>
        <v>10</v>
      </c>
      <c r="I7" s="3">
        <f>G7-H7</f>
        <v>3</v>
      </c>
      <c r="J7" s="9">
        <f>B7*100/(C7*3)</f>
        <v>46.153846153846153</v>
      </c>
    </row>
    <row r="8" spans="1:19" ht="15.75" thickBot="1">
      <c r="A8" s="6" t="s">
        <v>14</v>
      </c>
      <c r="B8" s="2">
        <f>D8*3+E8*1</f>
        <v>17</v>
      </c>
      <c r="C8" s="3">
        <f>D8+E8+F8</f>
        <v>13</v>
      </c>
      <c r="D8" s="4">
        <f>'Fim da 1a fase'!D7 + COUNTIFS($N$3:$N$21,A8,$M$3:$M$21,"V",$O$3:$O$21,"&lt;&gt;"&amp;"",$Q$3:$Q$21,"&lt;&gt;"&amp;"") +COUNTIFS($R$3:$R$21,A8,$S$3:$S$21,"V",$O$3:$O$21,"&lt;&gt;"&amp;"",$Q$3:$Q$21,"&lt;&gt;"&amp;"")</f>
        <v>5</v>
      </c>
      <c r="E8" s="3">
        <f>'Fim da 1a fase'!E7 + COUNTIFS($N$3:$N$21,A8,$M$3:$M$21,"E",$O$3:$O$21,"&lt;&gt;"&amp;"",$Q$3:$Q$21,"&lt;&gt;"&amp;"") +COUNTIFS($R$3:$R$21,A8,$S$3:$S$21,"E",$O$3:$O$21,"&lt;&gt;"&amp;"",$Q$3:$Q$21,"&lt;&gt;"&amp;"")</f>
        <v>2</v>
      </c>
      <c r="F8" s="4">
        <f>'Fim da 1a fase'!F7 + COUNTIFS($N$3:$N$21,A8,$M$3:$M$21,"D",$O$3:$O$21,"&lt;&gt;"&amp;"",$Q$3:$Q$21,"&lt;&gt;"&amp;"") +COUNTIFS($R$3:$R$21,A8,$S$3:$S$21,"D",$O$3:$O$21,"&lt;&gt;"&amp;"",$Q$3:$Q$21,"&lt;&gt;"&amp;"")</f>
        <v>6</v>
      </c>
      <c r="G8" s="3">
        <f>'Fim da 1a fase'!G7+SUMIFS($O$3:$O$21,$N$3:$N$21,A8)+SUMIFS($Q$3:$Q$21,$R$3:$R$21,A8)</f>
        <v>16</v>
      </c>
      <c r="H8" s="4">
        <f>'Fim da 1a fase'!H7+SUMIFS($Q$3:$Q$21,$N$3:$N$21,A8)+SUMIFS($O$3:$O$21,$R$3:$R$21,A8)</f>
        <v>27</v>
      </c>
      <c r="I8" s="3">
        <f>G8-H8</f>
        <v>-11</v>
      </c>
      <c r="J8" s="9">
        <f>B8*100/(C8*3)</f>
        <v>43.589743589743591</v>
      </c>
      <c r="L8" s="16" t="s">
        <v>39</v>
      </c>
      <c r="M8" s="7" t="str">
        <f>IF(O8&gt;Q8,"V",IF(O8=Q8,"E","D"))</f>
        <v>E</v>
      </c>
      <c r="N8" s="8" t="s">
        <v>17</v>
      </c>
      <c r="P8" s="10" t="s">
        <v>36</v>
      </c>
      <c r="R8" s="8" t="s">
        <v>18</v>
      </c>
      <c r="S8" s="7" t="str">
        <f t="shared" ref="S8:S11" si="0">IF(Q8&gt;O8,"V",IF(Q8=O8,"E","D"))</f>
        <v>E</v>
      </c>
    </row>
    <row r="9" spans="1:19" ht="15.75" thickBot="1">
      <c r="A9" s="6" t="s">
        <v>18</v>
      </c>
      <c r="B9" s="2">
        <f>D9*3+E9*1</f>
        <v>15</v>
      </c>
      <c r="C9" s="3">
        <f>D9+E9+F9</f>
        <v>13</v>
      </c>
      <c r="D9" s="4">
        <f>'Fim da 1a fase'!D9 + COUNTIFS($N$3:$N$21,A9,$M$3:$M$21,"V",$O$3:$O$21,"&lt;&gt;"&amp;"",$Q$3:$Q$21,"&lt;&gt;"&amp;"") +COUNTIFS($R$3:$R$21,A9,$S$3:$S$21,"V",$O$3:$O$21,"&lt;&gt;"&amp;"",$Q$3:$Q$21,"&lt;&gt;"&amp;"")</f>
        <v>4</v>
      </c>
      <c r="E9" s="3">
        <f>'Fim da 1a fase'!E9 + COUNTIFS($N$3:$N$21,A9,$M$3:$M$21,"E",$O$3:$O$21,"&lt;&gt;"&amp;"",$Q$3:$Q$21,"&lt;&gt;"&amp;"") +COUNTIFS($R$3:$R$21,A9,$S$3:$S$21,"E",$O$3:$O$21,"&lt;&gt;"&amp;"",$Q$3:$Q$21,"&lt;&gt;"&amp;"")</f>
        <v>3</v>
      </c>
      <c r="F9" s="4">
        <f>'Fim da 1a fase'!F9 + COUNTIFS($N$3:$N$21,A9,$M$3:$M$21,"D",$O$3:$O$21,"&lt;&gt;"&amp;"",$Q$3:$Q$21,"&lt;&gt;"&amp;"") +COUNTIFS($R$3:$R$21,A9,$S$3:$S$21,"D",$O$3:$O$21,"&lt;&gt;"&amp;"",$Q$3:$Q$21,"&lt;&gt;"&amp;"")</f>
        <v>6</v>
      </c>
      <c r="G9" s="3">
        <f>'Fim da 1a fase'!G9+SUMIFS($O$3:$O$21,$N$3:$N$21,A9)+SUMIFS($Q$3:$Q$21,$R$3:$R$21,A9)</f>
        <v>18</v>
      </c>
      <c r="H9" s="4">
        <f>'Fim da 1a fase'!H9+SUMIFS($Q$3:$Q$21,$N$3:$N$21,A9)+SUMIFS($O$3:$O$21,$R$3:$R$21,A9)</f>
        <v>20</v>
      </c>
      <c r="I9" s="3">
        <f>G9-H9</f>
        <v>-2</v>
      </c>
      <c r="J9" s="9">
        <f>B9*100/(C9*3)</f>
        <v>38.46153846153846</v>
      </c>
      <c r="L9" s="16"/>
      <c r="M9" s="7" t="str">
        <f>IF(O9&gt;Q9,"V",IF(O9=Q9,"E","D"))</f>
        <v>E</v>
      </c>
      <c r="N9" s="8" t="s">
        <v>13</v>
      </c>
      <c r="P9" s="10" t="s">
        <v>36</v>
      </c>
      <c r="R9" s="8" t="s">
        <v>14</v>
      </c>
      <c r="S9" s="7" t="str">
        <f t="shared" si="0"/>
        <v>E</v>
      </c>
    </row>
    <row r="10" spans="1:19">
      <c r="L10" s="16"/>
      <c r="M10" s="7" t="str">
        <f>IF(O10&gt;Q10,"V",IF(O10=Q10,"E","D"))</f>
        <v>E</v>
      </c>
      <c r="N10" s="8" t="s">
        <v>9</v>
      </c>
      <c r="P10" s="10" t="s">
        <v>36</v>
      </c>
      <c r="R10" s="8" t="s">
        <v>10</v>
      </c>
      <c r="S10" s="7" t="str">
        <f t="shared" si="0"/>
        <v>E</v>
      </c>
    </row>
    <row r="11" spans="1:19">
      <c r="L11" s="16"/>
      <c r="M11" s="7" t="str">
        <f>IF(O11&gt;Q11,"V",IF(O11=Q11,"E","D"))</f>
        <v>E</v>
      </c>
      <c r="N11" s="8" t="s">
        <v>21</v>
      </c>
      <c r="P11" s="10" t="s">
        <v>36</v>
      </c>
      <c r="R11" s="8" t="s">
        <v>35</v>
      </c>
      <c r="S11" s="7" t="str">
        <f t="shared" si="0"/>
        <v>E</v>
      </c>
    </row>
    <row r="13" spans="1:19">
      <c r="L13" s="16" t="s">
        <v>40</v>
      </c>
      <c r="M13" s="7" t="str">
        <f>IF(O13&gt;Q13,"V",IF(O13=Q13,"E","D"))</f>
        <v>E</v>
      </c>
      <c r="N13" s="8"/>
      <c r="P13" s="10" t="s">
        <v>36</v>
      </c>
      <c r="R13" s="8"/>
      <c r="S13" s="7" t="str">
        <f t="shared" ref="S13:S14" si="1">IF(Q13&gt;O13,"V",IF(Q13=O13,"E","D"))</f>
        <v>E</v>
      </c>
    </row>
    <row r="14" spans="1:19">
      <c r="L14" s="16"/>
      <c r="M14" s="7" t="str">
        <f>IF(O14&gt;Q14,"V",IF(O14=Q14,"E","D"))</f>
        <v>E</v>
      </c>
      <c r="N14" s="8"/>
      <c r="P14" s="10" t="s">
        <v>36</v>
      </c>
      <c r="R14" s="8"/>
      <c r="S14" s="7" t="str">
        <f t="shared" si="1"/>
        <v>E</v>
      </c>
    </row>
    <row r="15" spans="1:19">
      <c r="M15" s="14"/>
      <c r="N15" s="14"/>
      <c r="P15" s="14"/>
      <c r="R15" s="14"/>
      <c r="S15" s="14"/>
    </row>
    <row r="16" spans="1:19">
      <c r="L16" s="16" t="s">
        <v>40</v>
      </c>
      <c r="M16" s="7" t="str">
        <f>IF(O16&gt;Q16,"V",IF(O16=Q16,"E","D"))</f>
        <v>E</v>
      </c>
      <c r="N16" s="8"/>
      <c r="P16" s="10" t="s">
        <v>36</v>
      </c>
      <c r="Q16" s="15"/>
      <c r="R16" s="8"/>
      <c r="S16" s="7" t="str">
        <f t="shared" ref="S16:S17" si="2">IF(Q16&gt;O16,"V",IF(Q16=O16,"E","D"))</f>
        <v>E</v>
      </c>
    </row>
    <row r="17" spans="3:19">
      <c r="L17" s="16"/>
      <c r="M17" s="7" t="str">
        <f>IF(O17&gt;Q17,"V",IF(O17=Q17,"E","D"))</f>
        <v>E</v>
      </c>
      <c r="N17" s="8"/>
      <c r="P17" s="10" t="s">
        <v>36</v>
      </c>
      <c r="R17" s="8"/>
      <c r="S17" s="7" t="str">
        <f t="shared" si="2"/>
        <v>E</v>
      </c>
    </row>
    <row r="19" spans="3:19">
      <c r="L19" s="13" t="s">
        <v>41</v>
      </c>
      <c r="M19" s="7" t="str">
        <f>IF(O19&gt;Q19,"V",IF(O19=Q19,"E","D"))</f>
        <v>E</v>
      </c>
      <c r="P19" s="10" t="s">
        <v>36</v>
      </c>
      <c r="S19" s="7" t="str">
        <f t="shared" ref="S19" si="3">IF(Q19&gt;O19,"V",IF(Q19=O19,"E","D"))</f>
        <v>E</v>
      </c>
    </row>
    <row r="20" spans="3:19">
      <c r="M20" s="12"/>
      <c r="N20" s="12"/>
      <c r="O20" s="13"/>
      <c r="P20" s="12"/>
      <c r="Q20" s="13"/>
      <c r="R20" s="12"/>
      <c r="S20" s="12"/>
    </row>
    <row r="21" spans="3:19">
      <c r="L21" s="13" t="s">
        <v>42</v>
      </c>
      <c r="M21" s="7" t="str">
        <f>IF(O21&gt;Q21,"V",IF(O21=Q21,"E","D"))</f>
        <v>E</v>
      </c>
      <c r="P21" s="10" t="s">
        <v>36</v>
      </c>
      <c r="S21" s="7" t="str">
        <f t="shared" ref="S21" si="4">IF(Q21&gt;O21,"V",IF(Q21=O21,"E","D"))</f>
        <v>E</v>
      </c>
    </row>
    <row r="23" spans="3:19">
      <c r="M23" s="14"/>
      <c r="N23" s="14"/>
      <c r="P23" s="14"/>
      <c r="R23" s="14"/>
      <c r="S23" s="14"/>
    </row>
    <row r="24" spans="3:19">
      <c r="M24" s="12"/>
      <c r="N24" s="12"/>
      <c r="O24" s="13"/>
      <c r="P24" s="12"/>
      <c r="Q24" s="13"/>
      <c r="R24" s="12"/>
      <c r="S24" s="12"/>
    </row>
    <row r="26" spans="3:19">
      <c r="M26" s="14"/>
      <c r="N26" s="14"/>
      <c r="P26" s="14"/>
      <c r="R26" s="14"/>
      <c r="S26" s="14"/>
    </row>
    <row r="27" spans="3:19">
      <c r="M27" s="12"/>
      <c r="N27" s="12"/>
      <c r="O27" s="13"/>
      <c r="P27" s="12"/>
      <c r="Q27" s="13"/>
      <c r="R27" s="12"/>
      <c r="S27" s="12"/>
    </row>
    <row r="29" spans="3:19" hidden="1">
      <c r="C29" s="7">
        <f>D29+E29+F29</f>
        <v>1</v>
      </c>
      <c r="D29" s="7">
        <f t="shared" ref="D29:D36" si="5">COUNTIFS($N$3:$N$21,A2,$M$3:$M$21,"V",$O$3:$O$21,"&lt;&gt;"&amp;"",$Q$3:$Q$21,"&lt;&gt;"&amp;"") +COUNTIFS($R$3:$R$21,A2,$S$3:$S$21,"V",$O$3:$O$21,"&lt;&gt;"&amp;"",$Q$3:$Q$21,"&lt;&gt;"&amp;"")</f>
        <v>1</v>
      </c>
      <c r="E29" s="7">
        <f t="shared" ref="E29:E36" si="6" xml:space="preserve"> COUNTIFS($N$3:$N$21,A2,$M$3:$M$21,"E",$O$3:$O$21,"&lt;&gt;"&amp;"",$Q$3:$Q$21,"&lt;&gt;"&amp;"") +COUNTIFS($R$3:$R$21,A2,$S$3:$S$21,"E",$O$3:$O$21,"&lt;&gt;"&amp;"",$Q$3:$Q$21,"&lt;&gt;"&amp;"")</f>
        <v>0</v>
      </c>
      <c r="F29" s="7">
        <f t="shared" ref="F29:F36" si="7">COUNTIFS($N$3:$N$21,A2,$M$3:$M$21,"D",$O$3:$O$21,"&lt;&gt;"&amp;"",$Q$3:$Q$21,"&lt;&gt;"&amp;"") +COUNTIFS($R$3:$R$21,A2,$S$3:$S$21,"D",$O$3:$O$21,"&lt;&gt;"&amp;"",$Q$3:$Q$21,"&lt;&gt;"&amp;"")</f>
        <v>0</v>
      </c>
      <c r="G29" s="7">
        <f t="shared" ref="G29:G36" si="8">SUMIFS($O$3:$O$21,$N$3:$N$21,A2)+SUMIFS($Q$3:$Q$21,$R$3:$R$21,A2)</f>
        <v>3</v>
      </c>
      <c r="H29" s="7">
        <f t="shared" ref="H29:H36" si="9">SUMIFS($Q$3:$Q$21,$N$3:$N$21,A2)+SUMIFS($O$3:$O$21,$R$3:$R$21,A2)</f>
        <v>1</v>
      </c>
      <c r="I29" s="7">
        <f>G29-H29</f>
        <v>2</v>
      </c>
      <c r="M29" s="14"/>
      <c r="N29" s="14"/>
      <c r="P29" s="14"/>
      <c r="R29" s="14"/>
      <c r="S29" s="14"/>
    </row>
    <row r="30" spans="3:19" hidden="1">
      <c r="C30" s="7">
        <f t="shared" ref="C30:C36" si="10">D30+E30+F30</f>
        <v>1</v>
      </c>
      <c r="D30" s="7">
        <f t="shared" si="5"/>
        <v>1</v>
      </c>
      <c r="E30" s="7">
        <f t="shared" si="6"/>
        <v>0</v>
      </c>
      <c r="F30" s="7">
        <f t="shared" si="7"/>
        <v>0</v>
      </c>
      <c r="G30" s="7">
        <f t="shared" si="8"/>
        <v>1</v>
      </c>
      <c r="H30" s="7">
        <f t="shared" si="9"/>
        <v>0</v>
      </c>
      <c r="I30" s="7">
        <f t="shared" ref="I30:I36" si="11">G30-H30</f>
        <v>1</v>
      </c>
    </row>
    <row r="31" spans="3:19" hidden="1">
      <c r="C31" s="7">
        <f t="shared" si="10"/>
        <v>1</v>
      </c>
      <c r="D31" s="7">
        <f t="shared" si="5"/>
        <v>0</v>
      </c>
      <c r="E31" s="7">
        <f t="shared" si="6"/>
        <v>1</v>
      </c>
      <c r="F31" s="7">
        <f t="shared" si="7"/>
        <v>0</v>
      </c>
      <c r="G31" s="7">
        <f t="shared" si="8"/>
        <v>0</v>
      </c>
      <c r="H31" s="7">
        <f t="shared" si="9"/>
        <v>0</v>
      </c>
      <c r="I31" s="7">
        <f t="shared" si="11"/>
        <v>0</v>
      </c>
    </row>
    <row r="32" spans="3:19" hidden="1">
      <c r="C32" s="7">
        <f t="shared" si="10"/>
        <v>1</v>
      </c>
      <c r="D32" s="7">
        <f t="shared" si="5"/>
        <v>1</v>
      </c>
      <c r="E32" s="7">
        <f t="shared" si="6"/>
        <v>0</v>
      </c>
      <c r="F32" s="7">
        <f t="shared" si="7"/>
        <v>0</v>
      </c>
      <c r="G32" s="7">
        <f t="shared" si="8"/>
        <v>2</v>
      </c>
      <c r="H32" s="7">
        <f t="shared" si="9"/>
        <v>0</v>
      </c>
      <c r="I32" s="7">
        <f t="shared" si="11"/>
        <v>2</v>
      </c>
      <c r="L32" s="11"/>
      <c r="M32" s="7"/>
      <c r="N32" s="8"/>
      <c r="P32" s="10"/>
      <c r="R32" s="8"/>
      <c r="S32" s="7"/>
    </row>
    <row r="33" spans="3:9" hidden="1">
      <c r="C33" s="7">
        <f t="shared" si="10"/>
        <v>1</v>
      </c>
      <c r="D33" s="7">
        <f t="shared" si="5"/>
        <v>0</v>
      </c>
      <c r="E33" s="7">
        <f t="shared" si="6"/>
        <v>0</v>
      </c>
      <c r="F33" s="7">
        <f t="shared" si="7"/>
        <v>1</v>
      </c>
      <c r="G33" s="7">
        <f t="shared" si="8"/>
        <v>0</v>
      </c>
      <c r="H33" s="7">
        <f t="shared" si="9"/>
        <v>1</v>
      </c>
      <c r="I33" s="7">
        <f t="shared" si="11"/>
        <v>-1</v>
      </c>
    </row>
    <row r="34" spans="3:9" hidden="1">
      <c r="C34" s="7">
        <f t="shared" si="10"/>
        <v>1</v>
      </c>
      <c r="D34" s="7">
        <f t="shared" si="5"/>
        <v>0</v>
      </c>
      <c r="E34" s="7">
        <f t="shared" si="6"/>
        <v>1</v>
      </c>
      <c r="F34" s="7">
        <f t="shared" si="7"/>
        <v>0</v>
      </c>
      <c r="G34" s="7">
        <f t="shared" si="8"/>
        <v>0</v>
      </c>
      <c r="H34" s="7">
        <f t="shared" si="9"/>
        <v>0</v>
      </c>
      <c r="I34" s="7">
        <f t="shared" si="11"/>
        <v>0</v>
      </c>
    </row>
    <row r="35" spans="3:9" hidden="1">
      <c r="C35" s="7">
        <f t="shared" si="10"/>
        <v>1</v>
      </c>
      <c r="D35" s="7">
        <f t="shared" si="5"/>
        <v>0</v>
      </c>
      <c r="E35" s="7">
        <f t="shared" si="6"/>
        <v>0</v>
      </c>
      <c r="F35" s="7">
        <f t="shared" si="7"/>
        <v>1</v>
      </c>
      <c r="G35" s="7">
        <f t="shared" si="8"/>
        <v>0</v>
      </c>
      <c r="H35" s="7">
        <f t="shared" si="9"/>
        <v>2</v>
      </c>
      <c r="I35" s="7">
        <f t="shared" si="11"/>
        <v>-2</v>
      </c>
    </row>
    <row r="36" spans="3:9" hidden="1">
      <c r="C36" s="7">
        <f t="shared" si="10"/>
        <v>1</v>
      </c>
      <c r="D36" s="7">
        <f t="shared" si="5"/>
        <v>0</v>
      </c>
      <c r="E36" s="7">
        <f t="shared" si="6"/>
        <v>0</v>
      </c>
      <c r="F36" s="7">
        <f t="shared" si="7"/>
        <v>1</v>
      </c>
      <c r="G36" s="7">
        <f t="shared" si="8"/>
        <v>1</v>
      </c>
      <c r="H36" s="7">
        <f t="shared" si="9"/>
        <v>3</v>
      </c>
      <c r="I36" s="7">
        <f t="shared" si="11"/>
        <v>-2</v>
      </c>
    </row>
  </sheetData>
  <sortState ref="A2:J9">
    <sortCondition descending="1" ref="B2:B9"/>
    <sortCondition descending="1" ref="D2:D9"/>
    <sortCondition descending="1" ref="I2:I9"/>
  </sortState>
  <mergeCells count="5">
    <mergeCell ref="L3:L6"/>
    <mergeCell ref="L8:L11"/>
    <mergeCell ref="L16:L17"/>
    <mergeCell ref="L13:L14"/>
    <mergeCell ref="N2:R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J17"/>
  <sheetViews>
    <sheetView workbookViewId="0">
      <selection activeCell="C40" sqref="C40"/>
    </sheetView>
  </sheetViews>
  <sheetFormatPr defaultRowHeight="15"/>
  <cols>
    <col min="1" max="1" width="13.85546875" bestFit="1" customWidth="1"/>
  </cols>
  <sheetData>
    <row r="1" spans="1:10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</row>
    <row r="2" spans="1:10" ht="15.75" thickBot="1">
      <c r="A2" s="6" t="s">
        <v>17</v>
      </c>
      <c r="B2" s="2">
        <v>25</v>
      </c>
      <c r="C2" s="3">
        <v>12</v>
      </c>
      <c r="D2" s="4">
        <v>8</v>
      </c>
      <c r="E2" s="3">
        <v>1</v>
      </c>
      <c r="F2" s="4">
        <v>3</v>
      </c>
      <c r="G2" s="3">
        <v>23</v>
      </c>
      <c r="H2" s="4">
        <v>8</v>
      </c>
      <c r="I2" s="3">
        <v>15</v>
      </c>
      <c r="J2" s="4" t="s">
        <v>31</v>
      </c>
    </row>
    <row r="3" spans="1:10" ht="15.75" thickBot="1">
      <c r="A3" s="6" t="s">
        <v>9</v>
      </c>
      <c r="B3" s="2">
        <v>24</v>
      </c>
      <c r="C3" s="3">
        <v>12</v>
      </c>
      <c r="D3" s="4">
        <v>7</v>
      </c>
      <c r="E3" s="3">
        <v>3</v>
      </c>
      <c r="F3" s="4">
        <v>2</v>
      </c>
      <c r="G3" s="3">
        <v>14</v>
      </c>
      <c r="H3" s="4">
        <v>9</v>
      </c>
      <c r="I3" s="3">
        <v>5</v>
      </c>
      <c r="J3" s="4" t="s">
        <v>25</v>
      </c>
    </row>
    <row r="4" spans="1:10" ht="15.75" thickBot="1">
      <c r="A4" s="6" t="s">
        <v>21</v>
      </c>
      <c r="B4" s="2">
        <v>22</v>
      </c>
      <c r="C4" s="3">
        <v>12</v>
      </c>
      <c r="D4" s="4">
        <v>7</v>
      </c>
      <c r="E4" s="3">
        <v>1</v>
      </c>
      <c r="F4" s="4">
        <v>4</v>
      </c>
      <c r="G4" s="3">
        <v>23</v>
      </c>
      <c r="H4" s="4">
        <v>13</v>
      </c>
      <c r="I4" s="3">
        <v>10</v>
      </c>
      <c r="J4" s="4" t="s">
        <v>33</v>
      </c>
    </row>
    <row r="5" spans="1:10" ht="15.75" thickBot="1">
      <c r="A5" s="6" t="s">
        <v>22</v>
      </c>
      <c r="B5" s="2">
        <v>22</v>
      </c>
      <c r="C5" s="3">
        <v>12</v>
      </c>
      <c r="D5" s="4">
        <v>6</v>
      </c>
      <c r="E5" s="3">
        <v>4</v>
      </c>
      <c r="F5" s="4">
        <v>2</v>
      </c>
      <c r="G5" s="3">
        <v>18</v>
      </c>
      <c r="H5" s="4">
        <v>16</v>
      </c>
      <c r="I5" s="3">
        <v>2</v>
      </c>
      <c r="J5" s="4" t="s">
        <v>33</v>
      </c>
    </row>
    <row r="6" spans="1:10" ht="15.75" thickBot="1">
      <c r="A6" s="6" t="s">
        <v>13</v>
      </c>
      <c r="B6" s="2">
        <v>20</v>
      </c>
      <c r="C6" s="3">
        <v>12</v>
      </c>
      <c r="D6" s="4">
        <v>5</v>
      </c>
      <c r="E6" s="3">
        <v>5</v>
      </c>
      <c r="F6" s="4">
        <v>2</v>
      </c>
      <c r="G6" s="3">
        <v>25</v>
      </c>
      <c r="H6" s="4">
        <v>20</v>
      </c>
      <c r="I6" s="3">
        <v>5</v>
      </c>
      <c r="J6" s="4" t="s">
        <v>29</v>
      </c>
    </row>
    <row r="7" spans="1:10" ht="15.75" thickBot="1">
      <c r="A7" s="6" t="s">
        <v>14</v>
      </c>
      <c r="B7" s="2">
        <v>17</v>
      </c>
      <c r="C7" s="3">
        <v>12</v>
      </c>
      <c r="D7" s="4">
        <v>5</v>
      </c>
      <c r="E7" s="3">
        <v>2</v>
      </c>
      <c r="F7" s="4">
        <v>5</v>
      </c>
      <c r="G7" s="3">
        <v>16</v>
      </c>
      <c r="H7" s="4">
        <v>25</v>
      </c>
      <c r="I7" s="3">
        <v>-9</v>
      </c>
      <c r="J7" s="4" t="s">
        <v>26</v>
      </c>
    </row>
    <row r="8" spans="1:10" ht="15.75" thickBot="1">
      <c r="A8" s="6" t="s">
        <v>10</v>
      </c>
      <c r="B8" s="2">
        <v>17</v>
      </c>
      <c r="C8" s="3">
        <v>12</v>
      </c>
      <c r="D8" s="4">
        <v>4</v>
      </c>
      <c r="E8" s="3">
        <v>5</v>
      </c>
      <c r="F8" s="4">
        <v>3</v>
      </c>
      <c r="G8" s="3">
        <v>13</v>
      </c>
      <c r="H8" s="4">
        <v>10</v>
      </c>
      <c r="I8" s="3">
        <v>3</v>
      </c>
      <c r="J8" s="4" t="s">
        <v>26</v>
      </c>
    </row>
    <row r="9" spans="1:10" ht="15.75" thickBot="1">
      <c r="A9" s="6" t="s">
        <v>23</v>
      </c>
      <c r="B9" s="2">
        <v>15</v>
      </c>
      <c r="C9" s="3">
        <v>12</v>
      </c>
      <c r="D9" s="4">
        <v>4</v>
      </c>
      <c r="E9" s="3">
        <v>3</v>
      </c>
      <c r="F9" s="4">
        <v>5</v>
      </c>
      <c r="G9" s="3">
        <v>17</v>
      </c>
      <c r="H9" s="4">
        <v>17</v>
      </c>
      <c r="I9" s="3">
        <v>0</v>
      </c>
      <c r="J9" s="4" t="s">
        <v>32</v>
      </c>
    </row>
    <row r="10" spans="1:10" ht="15.75" thickBot="1">
      <c r="A10" s="6" t="s">
        <v>18</v>
      </c>
      <c r="B10" s="2">
        <v>15</v>
      </c>
      <c r="C10" s="3">
        <v>12</v>
      </c>
      <c r="D10" s="4">
        <v>4</v>
      </c>
      <c r="E10" s="3">
        <v>3</v>
      </c>
      <c r="F10" s="4">
        <v>5</v>
      </c>
      <c r="G10" s="3">
        <v>17</v>
      </c>
      <c r="H10" s="4">
        <v>21</v>
      </c>
      <c r="I10" s="3">
        <v>-4</v>
      </c>
      <c r="J10" s="4" t="s">
        <v>32</v>
      </c>
    </row>
    <row r="11" spans="1:10" ht="15.75" thickBot="1">
      <c r="A11" s="6" t="s">
        <v>11</v>
      </c>
      <c r="B11" s="2">
        <v>14</v>
      </c>
      <c r="C11" s="3">
        <v>12</v>
      </c>
      <c r="D11" s="4">
        <v>3</v>
      </c>
      <c r="E11" s="3">
        <v>5</v>
      </c>
      <c r="F11" s="4">
        <v>4</v>
      </c>
      <c r="G11" s="3">
        <v>11</v>
      </c>
      <c r="H11" s="4">
        <v>12</v>
      </c>
      <c r="I11" s="3">
        <v>-1</v>
      </c>
      <c r="J11" s="4" t="s">
        <v>27</v>
      </c>
    </row>
    <row r="12" spans="1:10" ht="15.75" thickBot="1">
      <c r="A12" s="6" t="s">
        <v>19</v>
      </c>
      <c r="B12" s="2">
        <v>14</v>
      </c>
      <c r="C12" s="3">
        <v>12</v>
      </c>
      <c r="D12" s="4">
        <v>3</v>
      </c>
      <c r="E12" s="3">
        <v>5</v>
      </c>
      <c r="F12" s="4">
        <v>4</v>
      </c>
      <c r="G12" s="3">
        <v>15</v>
      </c>
      <c r="H12" s="4">
        <v>18</v>
      </c>
      <c r="I12" s="3">
        <v>-3</v>
      </c>
      <c r="J12" s="4" t="s">
        <v>27</v>
      </c>
    </row>
    <row r="13" spans="1:10" ht="15.75" thickBot="1">
      <c r="A13" s="6" t="s">
        <v>20</v>
      </c>
      <c r="B13" s="2">
        <v>13</v>
      </c>
      <c r="C13" s="3">
        <v>12</v>
      </c>
      <c r="D13" s="4">
        <v>4</v>
      </c>
      <c r="E13" s="3">
        <v>1</v>
      </c>
      <c r="F13" s="4">
        <v>7</v>
      </c>
      <c r="G13" s="3">
        <v>8</v>
      </c>
      <c r="H13" s="4">
        <v>12</v>
      </c>
      <c r="I13" s="3">
        <v>-4</v>
      </c>
      <c r="J13" s="4" t="s">
        <v>30</v>
      </c>
    </row>
    <row r="14" spans="1:10" ht="15.75" thickBot="1">
      <c r="A14" s="6" t="s">
        <v>15</v>
      </c>
      <c r="B14" s="2">
        <v>13</v>
      </c>
      <c r="C14" s="3">
        <v>12</v>
      </c>
      <c r="D14" s="4">
        <v>3</v>
      </c>
      <c r="E14" s="3">
        <v>4</v>
      </c>
      <c r="F14" s="4">
        <v>5</v>
      </c>
      <c r="G14" s="3">
        <v>14</v>
      </c>
      <c r="H14" s="4">
        <v>16</v>
      </c>
      <c r="I14" s="3">
        <v>-2</v>
      </c>
      <c r="J14" s="4" t="s">
        <v>30</v>
      </c>
    </row>
    <row r="15" spans="1:10" ht="15.75" thickBot="1">
      <c r="A15" s="6" t="s">
        <v>16</v>
      </c>
      <c r="B15" s="2">
        <v>13</v>
      </c>
      <c r="C15" s="3">
        <v>12</v>
      </c>
      <c r="D15" s="4">
        <v>3</v>
      </c>
      <c r="E15" s="3">
        <v>4</v>
      </c>
      <c r="F15" s="4">
        <v>5</v>
      </c>
      <c r="G15" s="3">
        <v>10</v>
      </c>
      <c r="H15" s="4">
        <v>15</v>
      </c>
      <c r="I15" s="3">
        <v>-5</v>
      </c>
      <c r="J15" s="4" t="s">
        <v>30</v>
      </c>
    </row>
    <row r="16" spans="1:10" ht="15.75" thickBot="1">
      <c r="A16" s="6" t="s">
        <v>12</v>
      </c>
      <c r="B16" s="2">
        <v>10</v>
      </c>
      <c r="C16" s="3">
        <v>12</v>
      </c>
      <c r="D16" s="4">
        <v>3</v>
      </c>
      <c r="E16" s="3">
        <v>1</v>
      </c>
      <c r="F16" s="4">
        <v>8</v>
      </c>
      <c r="G16" s="3">
        <v>10</v>
      </c>
      <c r="H16" s="4">
        <v>17</v>
      </c>
      <c r="I16" s="3">
        <v>-7</v>
      </c>
      <c r="J16" s="4" t="s">
        <v>28</v>
      </c>
    </row>
    <row r="17" spans="1:10" ht="15.75" thickBot="1">
      <c r="A17" s="6" t="s">
        <v>24</v>
      </c>
      <c r="B17" s="2">
        <v>9</v>
      </c>
      <c r="C17" s="3">
        <v>12</v>
      </c>
      <c r="D17" s="4">
        <v>2</v>
      </c>
      <c r="E17" s="3">
        <v>3</v>
      </c>
      <c r="F17" s="4">
        <v>7</v>
      </c>
      <c r="G17" s="3">
        <v>16</v>
      </c>
      <c r="H17" s="4">
        <v>21</v>
      </c>
      <c r="I17" s="3">
        <v>-5</v>
      </c>
      <c r="J17" s="4" t="s">
        <v>34</v>
      </c>
    </row>
  </sheetData>
  <sortState ref="A2:J17">
    <sortCondition descending="1" ref="B2:B17"/>
    <sortCondition descending="1" ref="D2:D17"/>
    <sortCondition descending="1" ref="I2:I17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geral contando a 2a fase</vt:lpstr>
      <vt:lpstr>Fim da 1a fase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2017-04-03T16:23:37Z</dcterms:created>
  <dcterms:modified xsi:type="dcterms:W3CDTF">2017-04-04T02:59:22Z</dcterms:modified>
</cp:coreProperties>
</file>